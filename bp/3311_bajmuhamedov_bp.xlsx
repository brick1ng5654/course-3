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ick\Downloads\"/>
    </mc:Choice>
  </mc:AlternateContent>
  <xr:revisionPtr revIDLastSave="0" documentId="13_ncr:1_{B516FF33-EF5C-4CB8-9760-F6DCEE0AB2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Бизнес-Планировани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1" l="1"/>
  <c r="I11" i="1" s="1" a="1"/>
  <c r="I11" i="1" s="1"/>
  <c r="F37" i="1"/>
  <c r="D37" i="1"/>
  <c r="D36" i="1"/>
  <c r="F36" i="1" s="1"/>
  <c r="D35" i="1"/>
  <c r="F35" i="1" s="1"/>
  <c r="D34" i="1"/>
  <c r="F34" i="1" s="1"/>
  <c r="D33" i="1"/>
  <c r="F33" i="1" s="1"/>
  <c r="D32" i="1"/>
  <c r="D31" i="1"/>
  <c r="F31" i="1" s="1"/>
  <c r="F30" i="1"/>
  <c r="D30" i="1"/>
  <c r="D29" i="1"/>
  <c r="F29" i="1" s="1"/>
  <c r="D28" i="1"/>
  <c r="F28" i="1" s="1"/>
  <c r="F27" i="1"/>
  <c r="D27" i="1"/>
  <c r="D26" i="1"/>
  <c r="F26" i="1" s="1"/>
  <c r="D25" i="1"/>
  <c r="F24" i="1"/>
  <c r="D24" i="1"/>
  <c r="D23" i="1"/>
  <c r="F23" i="1" s="1"/>
  <c r="F22" i="1"/>
  <c r="D22" i="1"/>
  <c r="F21" i="1"/>
  <c r="D21" i="1"/>
  <c r="D20" i="1"/>
  <c r="F20" i="1" s="1"/>
  <c r="F19" i="1"/>
  <c r="D19" i="1"/>
  <c r="D18" i="1"/>
  <c r="F18" i="1" s="1"/>
  <c r="D17" i="1"/>
  <c r="F16" i="1"/>
  <c r="D16" i="1"/>
  <c r="D15" i="1"/>
  <c r="F15" i="1" s="1"/>
  <c r="F14" i="1"/>
  <c r="D14" i="1"/>
  <c r="D13" i="1"/>
  <c r="F13" i="1" s="1"/>
  <c r="F12" i="1"/>
  <c r="D12" i="1"/>
  <c r="D11" i="1"/>
  <c r="F11" i="1" s="1"/>
  <c r="D10" i="1"/>
  <c r="F9" i="1"/>
  <c r="D9" i="1"/>
  <c r="I8" i="1"/>
  <c r="D8" i="1"/>
  <c r="F7" i="1"/>
  <c r="D7" i="1"/>
  <c r="D6" i="1"/>
  <c r="F6" i="1" s="1"/>
  <c r="F5" i="1"/>
  <c r="D5" i="1"/>
  <c r="D4" i="1"/>
  <c r="F4" i="1" s="1"/>
  <c r="F3" i="1"/>
  <c r="E3" i="1"/>
  <c r="D3" i="1"/>
  <c r="I2" i="1"/>
  <c r="F2" i="1"/>
  <c r="E2" i="1"/>
  <c r="D2" i="1"/>
  <c r="I4" i="1" l="1" a="1"/>
  <c r="I4" i="1" s="1"/>
  <c r="F32" i="1"/>
  <c r="F10" i="1"/>
  <c r="I12" i="1"/>
  <c r="I13" i="1" s="1"/>
  <c r="F17" i="1"/>
  <c r="F25" i="1"/>
  <c r="E4" i="1"/>
  <c r="E5" i="1" s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F8" i="1"/>
  <c r="I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<sst xmlns="http://schemas.openxmlformats.org/spreadsheetml/2006/main" count="14" uniqueCount="14">
  <si>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Месяц</t>
  </si>
  <si>
    <t>Затраты в месяце</t>
  </si>
  <si>
    <t>Кол-во активных камер</t>
  </si>
  <si>
    <t>Доход</t>
  </si>
  <si>
    <t>Прибыль</t>
  </si>
  <si>
    <t>Ежемесячная прибыль</t>
  </si>
  <si>
    <t>r_m</t>
  </si>
  <si>
    <t>CF</t>
  </si>
  <si>
    <t>NPV</t>
  </si>
  <si>
    <t>IRR месячная</t>
  </si>
  <si>
    <t>IRR годовая</t>
  </si>
  <si>
    <t>PV outflows</t>
  </si>
  <si>
    <t>PV inflows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</si>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</sst>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р.-419]#,##0.0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0" fontId="1" fillId="0" borderId="3" xfId="0" applyFont="1" applyBorder="1"/>
    <xf numFmtId="9" fontId="1" fillId="0" borderId="4" xfId="0" applyNumberFormat="1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4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7"/>
  <sheetViews>
    <sheetView tabSelected="1" workbookViewId="0">
      <selection activeCell="H10" sqref="H10"/>
    </sheetView>
  </sheetViews>
  <sheetFormatPr defaultColWidth="12.5703125" defaultRowHeight="15.75" customHeight="1" x14ac:dyDescent="0.2"/>
  <cols>
    <col min="3" max="3" width="25.42578125" customWidth="1"/>
    <col min="6" max="6" width="24.5703125" customWidth="1"/>
    <col min="9" max="9" width="42" customWidth="1"/>
  </cols>
  <sheetData>
    <row r="1" spans="1:9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3" t="s">
        <v>6</v>
      </c>
      <c r="I1" s="4">
        <f>POWER(1+0.2,1/12)-1</f>
        <v>1.5309470499731193E-2</v>
      </c>
    </row>
    <row r="2" spans="1:9" x14ac:dyDescent="0.2">
      <c r="A2" s="1">
        <v>1</v>
      </c>
      <c r="B2" s="1">
        <v>4250000</v>
      </c>
      <c r="C2" s="2">
        <v>0</v>
      </c>
      <c r="D2" s="2">
        <f t="shared" ref="D2:D37" si="0">C2*2700</f>
        <v>0</v>
      </c>
      <c r="E2" s="2">
        <f>-B2+D2</f>
        <v>-4250000</v>
      </c>
      <c r="F2" s="2">
        <f t="shared" ref="F2:F37" si="1">D2-B2</f>
        <v>-4250000</v>
      </c>
      <c r="H2" s="3" t="s">
        <v>7</v>
      </c>
      <c r="I2" s="4">
        <f>D2-B2</f>
        <v>-4250000</v>
      </c>
    </row>
    <row r="3" spans="1:9" x14ac:dyDescent="0.2">
      <c r="A3" s="1">
        <v>2</v>
      </c>
      <c r="B3" s="1">
        <v>1445000</v>
      </c>
      <c r="C3" s="2">
        <v>0</v>
      </c>
      <c r="D3" s="2">
        <f t="shared" si="0"/>
        <v>0</v>
      </c>
      <c r="E3" s="2">
        <f t="shared" ref="E3:E37" si="2">-B3+D3+E2</f>
        <v>-5695000</v>
      </c>
      <c r="F3" s="2">
        <f t="shared" si="1"/>
        <v>-1445000</v>
      </c>
    </row>
    <row r="4" spans="1:9" x14ac:dyDescent="0.2">
      <c r="A4" s="1">
        <v>3</v>
      </c>
      <c r="B4" s="1">
        <v>1445000</v>
      </c>
      <c r="C4" s="2">
        <v>0</v>
      </c>
      <c r="D4" s="2">
        <f t="shared" si="0"/>
        <v>0</v>
      </c>
      <c r="E4" s="2">
        <f t="shared" si="2"/>
        <v>-7140000</v>
      </c>
      <c r="F4" s="2">
        <f t="shared" si="1"/>
        <v>-1445000</v>
      </c>
      <c r="H4" s="3" t="s">
        <v>8</v>
      </c>
      <c r="I4" s="5">
        <f t="array" ref="I4">NPV($I$1,F2:F37)</f>
        <v>9391452.8566106204</v>
      </c>
    </row>
    <row r="5" spans="1:9" x14ac:dyDescent="0.2">
      <c r="A5" s="1">
        <v>4</v>
      </c>
      <c r="B5" s="1">
        <v>1445000</v>
      </c>
      <c r="C5" s="2">
        <v>50</v>
      </c>
      <c r="D5" s="2">
        <f t="shared" si="0"/>
        <v>135000</v>
      </c>
      <c r="E5" s="2">
        <f t="shared" si="2"/>
        <v>-8450000</v>
      </c>
      <c r="F5" s="2">
        <f t="shared" si="1"/>
        <v>-1310000</v>
      </c>
    </row>
    <row r="6" spans="1:9" x14ac:dyDescent="0.2">
      <c r="A6" s="1">
        <v>5</v>
      </c>
      <c r="B6" s="1">
        <v>1445000</v>
      </c>
      <c r="C6" s="2">
        <v>100</v>
      </c>
      <c r="D6" s="2">
        <f t="shared" si="0"/>
        <v>270000</v>
      </c>
      <c r="E6" s="2">
        <f t="shared" si="2"/>
        <v>-9625000</v>
      </c>
      <c r="F6" s="2">
        <f t="shared" si="1"/>
        <v>-1175000</v>
      </c>
    </row>
    <row r="7" spans="1:9" x14ac:dyDescent="0.2">
      <c r="A7" s="1">
        <v>6</v>
      </c>
      <c r="B7" s="1">
        <v>1445000</v>
      </c>
      <c r="C7" s="2">
        <v>150</v>
      </c>
      <c r="D7" s="2">
        <f t="shared" si="0"/>
        <v>405000</v>
      </c>
      <c r="E7" s="2">
        <f t="shared" si="2"/>
        <v>-10665000</v>
      </c>
      <c r="F7" s="2">
        <f t="shared" si="1"/>
        <v>-1040000</v>
      </c>
      <c r="H7" s="6" t="s">
        <v>9</v>
      </c>
      <c r="I7" s="7">
        <f>IRR(F2:F37)</f>
        <v>3.8045220604815189E-2</v>
      </c>
    </row>
    <row r="8" spans="1:9" x14ac:dyDescent="0.2">
      <c r="A8" s="1">
        <v>7</v>
      </c>
      <c r="B8" s="1">
        <v>1445000</v>
      </c>
      <c r="C8" s="2">
        <v>200</v>
      </c>
      <c r="D8" s="2">
        <f t="shared" si="0"/>
        <v>540000</v>
      </c>
      <c r="E8" s="2">
        <f t="shared" si="2"/>
        <v>-11570000</v>
      </c>
      <c r="F8" s="2">
        <f t="shared" si="1"/>
        <v>-905000</v>
      </c>
      <c r="H8" s="8" t="s">
        <v>10</v>
      </c>
      <c r="I8" s="9">
        <f>(((1+0.04)^12)-1)*100</f>
        <v>60.103221856768172</v>
      </c>
    </row>
    <row r="9" spans="1:9" x14ac:dyDescent="0.2">
      <c r="A9" s="1">
        <v>8</v>
      </c>
      <c r="B9" s="1">
        <v>1445000</v>
      </c>
      <c r="C9" s="2">
        <v>250</v>
      </c>
      <c r="D9" s="2">
        <f t="shared" si="0"/>
        <v>675000</v>
      </c>
      <c r="E9" s="2">
        <f t="shared" si="2"/>
        <v>-12340000</v>
      </c>
      <c r="F9" s="2">
        <f t="shared" si="1"/>
        <v>-770000</v>
      </c>
    </row>
    <row r="10" spans="1:9" x14ac:dyDescent="0.2">
      <c r="A10" s="1">
        <v>9</v>
      </c>
      <c r="B10" s="1">
        <v>1445000</v>
      </c>
      <c r="C10" s="2">
        <v>300</v>
      </c>
      <c r="D10" s="2">
        <f t="shared" si="0"/>
        <v>810000</v>
      </c>
      <c r="E10" s="2">
        <f t="shared" si="2"/>
        <v>-12975000</v>
      </c>
      <c r="F10" s="2">
        <f t="shared" si="1"/>
        <v>-635000</v>
      </c>
    </row>
    <row r="11" spans="1:9" x14ac:dyDescent="0.2">
      <c r="A11" s="1">
        <v>10</v>
      </c>
      <c r="B11" s="1">
        <v>1445000</v>
      </c>
      <c r="C11" s="2">
        <v>350</v>
      </c>
      <c r="D11" s="2">
        <f t="shared" si="0"/>
        <v>945000</v>
      </c>
      <c r="E11" s="2">
        <f t="shared" si="2"/>
        <v>-13475000</v>
      </c>
      <c r="F11" s="2">
        <f t="shared" si="1"/>
        <v>-500000</v>
      </c>
      <c r="H11" s="6" t="s">
        <v>11</v>
      </c>
      <c r="I11" s="10" cm="1">
        <f t="array" ref="I11">-SUMPRODUCT((F2:F37&lt;0)*(F2:F37 / (1+$I$1)^A2:A37))</f>
        <v>13296862.743141405</v>
      </c>
    </row>
    <row r="12" spans="1:9" x14ac:dyDescent="0.2">
      <c r="A12" s="1">
        <v>11</v>
      </c>
      <c r="B12" s="1">
        <v>1445000</v>
      </c>
      <c r="C12" s="2">
        <v>400</v>
      </c>
      <c r="D12" s="2">
        <f t="shared" si="0"/>
        <v>1080000</v>
      </c>
      <c r="E12" s="2">
        <f t="shared" si="2"/>
        <v>-13840000</v>
      </c>
      <c r="F12" s="2">
        <f t="shared" si="1"/>
        <v>-365000</v>
      </c>
      <c r="H12" s="11" t="s">
        <v>12</v>
      </c>
      <c r="I12" s="12">
        <f>SUMPRODUCT((F2:F37&gt;0)*(F2:F37 / (1+$I$1)^A2:A37))</f>
        <v>22688315.599752042</v>
      </c>
    </row>
    <row r="13" spans="1:9" x14ac:dyDescent="0.2">
      <c r="A13" s="1">
        <v>12</v>
      </c>
      <c r="B13" s="1">
        <v>1445000</v>
      </c>
      <c r="C13" s="2">
        <v>450</v>
      </c>
      <c r="D13" s="2">
        <f t="shared" si="0"/>
        <v>1215000</v>
      </c>
      <c r="E13" s="2">
        <f t="shared" si="2"/>
        <v>-14070000</v>
      </c>
      <c r="F13" s="2">
        <f t="shared" si="1"/>
        <v>-230000</v>
      </c>
      <c r="H13" s="8" t="s">
        <v>13</v>
      </c>
      <c r="I13" s="9">
        <f>I12/I11</f>
        <v>1.70629087763238</v>
      </c>
    </row>
    <row r="14" spans="1:9" x14ac:dyDescent="0.2">
      <c r="A14" s="1">
        <v>13</v>
      </c>
      <c r="B14" s="1">
        <v>1445000</v>
      </c>
      <c r="C14" s="2">
        <v>500</v>
      </c>
      <c r="D14" s="2">
        <f t="shared" si="0"/>
        <v>1350000</v>
      </c>
      <c r="E14" s="2">
        <f t="shared" si="2"/>
        <v>-14165000</v>
      </c>
      <c r="F14" s="2">
        <f t="shared" si="1"/>
        <v>-95000</v>
      </c>
    </row>
    <row r="15" spans="1:9" x14ac:dyDescent="0.2">
      <c r="A15" s="1">
        <v>14</v>
      </c>
      <c r="B15" s="1">
        <v>1445000</v>
      </c>
      <c r="C15" s="2">
        <v>550</v>
      </c>
      <c r="D15" s="2">
        <f t="shared" si="0"/>
        <v>1485000</v>
      </c>
      <c r="E15" s="2">
        <f t="shared" si="2"/>
        <v>-14125000</v>
      </c>
      <c r="F15" s="2">
        <f t="shared" si="1"/>
        <v>40000</v>
      </c>
    </row>
    <row r="16" spans="1:9" x14ac:dyDescent="0.2">
      <c r="A16" s="1">
        <v>15</v>
      </c>
      <c r="B16" s="1">
        <v>1445000</v>
      </c>
      <c r="C16" s="2">
        <v>600</v>
      </c>
      <c r="D16" s="2">
        <f t="shared" si="0"/>
        <v>1620000</v>
      </c>
      <c r="E16" s="2">
        <f t="shared" si="2"/>
        <v>-13950000</v>
      </c>
      <c r="F16" s="2">
        <f t="shared" si="1"/>
        <v>175000</v>
      </c>
    </row>
    <row r="17" spans="1:6" x14ac:dyDescent="0.2">
      <c r="A17" s="1">
        <v>16</v>
      </c>
      <c r="B17" s="1">
        <v>1445000</v>
      </c>
      <c r="C17" s="2">
        <v>650</v>
      </c>
      <c r="D17" s="2">
        <f t="shared" si="0"/>
        <v>1755000</v>
      </c>
      <c r="E17" s="2">
        <f t="shared" si="2"/>
        <v>-13640000</v>
      </c>
      <c r="F17" s="2">
        <f t="shared" si="1"/>
        <v>310000</v>
      </c>
    </row>
    <row r="18" spans="1:6" x14ac:dyDescent="0.2">
      <c r="A18" s="1">
        <v>17</v>
      </c>
      <c r="B18" s="1">
        <v>1445000</v>
      </c>
      <c r="C18" s="2">
        <v>700</v>
      </c>
      <c r="D18" s="2">
        <f t="shared" si="0"/>
        <v>1890000</v>
      </c>
      <c r="E18" s="2">
        <f t="shared" si="2"/>
        <v>-13195000</v>
      </c>
      <c r="F18" s="2">
        <f t="shared" si="1"/>
        <v>445000</v>
      </c>
    </row>
    <row r="19" spans="1:6" x14ac:dyDescent="0.2">
      <c r="A19" s="1">
        <v>18</v>
      </c>
      <c r="B19" s="1">
        <v>1445000</v>
      </c>
      <c r="C19" s="2">
        <v>750</v>
      </c>
      <c r="D19" s="2">
        <f t="shared" si="0"/>
        <v>2025000</v>
      </c>
      <c r="E19" s="2">
        <f t="shared" si="2"/>
        <v>-12615000</v>
      </c>
      <c r="F19" s="2">
        <f t="shared" si="1"/>
        <v>580000</v>
      </c>
    </row>
    <row r="20" spans="1:6" x14ac:dyDescent="0.2">
      <c r="A20" s="1">
        <v>19</v>
      </c>
      <c r="B20" s="1">
        <v>1445000</v>
      </c>
      <c r="C20" s="2">
        <v>800</v>
      </c>
      <c r="D20" s="2">
        <f t="shared" si="0"/>
        <v>2160000</v>
      </c>
      <c r="E20" s="2">
        <f t="shared" si="2"/>
        <v>-11900000</v>
      </c>
      <c r="F20" s="2">
        <f t="shared" si="1"/>
        <v>715000</v>
      </c>
    </row>
    <row r="21" spans="1:6" x14ac:dyDescent="0.2">
      <c r="A21" s="1">
        <v>20</v>
      </c>
      <c r="B21" s="1">
        <v>1445000</v>
      </c>
      <c r="C21" s="2">
        <v>850</v>
      </c>
      <c r="D21" s="2">
        <f t="shared" si="0"/>
        <v>2295000</v>
      </c>
      <c r="E21" s="2">
        <f t="shared" si="2"/>
        <v>-11050000</v>
      </c>
      <c r="F21" s="2">
        <f t="shared" si="1"/>
        <v>850000</v>
      </c>
    </row>
    <row r="22" spans="1:6" x14ac:dyDescent="0.2">
      <c r="A22" s="1">
        <v>21</v>
      </c>
      <c r="B22" s="1">
        <v>1445000</v>
      </c>
      <c r="C22" s="2">
        <v>900</v>
      </c>
      <c r="D22" s="2">
        <f t="shared" si="0"/>
        <v>2430000</v>
      </c>
      <c r="E22" s="2">
        <f t="shared" si="2"/>
        <v>-10065000</v>
      </c>
      <c r="F22" s="2">
        <f t="shared" si="1"/>
        <v>985000</v>
      </c>
    </row>
    <row r="23" spans="1:6" x14ac:dyDescent="0.2">
      <c r="A23" s="1">
        <v>22</v>
      </c>
      <c r="B23" s="1">
        <v>1445000</v>
      </c>
      <c r="C23" s="2">
        <v>950</v>
      </c>
      <c r="D23" s="2">
        <f t="shared" si="0"/>
        <v>2565000</v>
      </c>
      <c r="E23" s="2">
        <f t="shared" si="2"/>
        <v>-8945000</v>
      </c>
      <c r="F23" s="2">
        <f t="shared" si="1"/>
        <v>1120000</v>
      </c>
    </row>
    <row r="24" spans="1:6" x14ac:dyDescent="0.2">
      <c r="A24" s="1">
        <v>23</v>
      </c>
      <c r="B24" s="1">
        <v>1445000</v>
      </c>
      <c r="C24" s="2">
        <v>1000</v>
      </c>
      <c r="D24" s="2">
        <f t="shared" si="0"/>
        <v>2700000</v>
      </c>
      <c r="E24" s="2">
        <f t="shared" si="2"/>
        <v>-7690000</v>
      </c>
      <c r="F24" s="2">
        <f t="shared" si="1"/>
        <v>1255000</v>
      </c>
    </row>
    <row r="25" spans="1:6" x14ac:dyDescent="0.2">
      <c r="A25" s="1">
        <v>24</v>
      </c>
      <c r="B25" s="1">
        <v>1445000</v>
      </c>
      <c r="C25" s="2">
        <v>1050</v>
      </c>
      <c r="D25" s="2">
        <f t="shared" si="0"/>
        <v>2835000</v>
      </c>
      <c r="E25" s="2">
        <f t="shared" si="2"/>
        <v>-6300000</v>
      </c>
      <c r="F25" s="2">
        <f t="shared" si="1"/>
        <v>1390000</v>
      </c>
    </row>
    <row r="26" spans="1:6" x14ac:dyDescent="0.2">
      <c r="A26" s="1">
        <v>25</v>
      </c>
      <c r="B26" s="1">
        <v>1445000</v>
      </c>
      <c r="C26" s="2">
        <v>1100</v>
      </c>
      <c r="D26" s="2">
        <f t="shared" si="0"/>
        <v>2970000</v>
      </c>
      <c r="E26" s="2">
        <f t="shared" si="2"/>
        <v>-4775000</v>
      </c>
      <c r="F26" s="2">
        <f t="shared" si="1"/>
        <v>1525000</v>
      </c>
    </row>
    <row r="27" spans="1:6" x14ac:dyDescent="0.2">
      <c r="A27" s="1">
        <v>26</v>
      </c>
      <c r="B27" s="1">
        <v>1445000</v>
      </c>
      <c r="C27" s="2">
        <v>1150</v>
      </c>
      <c r="D27" s="2">
        <f t="shared" si="0"/>
        <v>3105000</v>
      </c>
      <c r="E27" s="2">
        <f t="shared" si="2"/>
        <v>-3115000</v>
      </c>
      <c r="F27" s="2">
        <f t="shared" si="1"/>
        <v>1660000</v>
      </c>
    </row>
    <row r="28" spans="1:6" x14ac:dyDescent="0.2">
      <c r="A28" s="1">
        <v>27</v>
      </c>
      <c r="B28" s="1">
        <v>1445000</v>
      </c>
      <c r="C28" s="2">
        <v>1200</v>
      </c>
      <c r="D28" s="2">
        <f t="shared" si="0"/>
        <v>3240000</v>
      </c>
      <c r="E28" s="2">
        <f t="shared" si="2"/>
        <v>-1320000</v>
      </c>
      <c r="F28" s="2">
        <f t="shared" si="1"/>
        <v>1795000</v>
      </c>
    </row>
    <row r="29" spans="1:6" x14ac:dyDescent="0.2">
      <c r="A29" s="1">
        <v>28</v>
      </c>
      <c r="B29" s="1">
        <v>1445000</v>
      </c>
      <c r="C29" s="2">
        <v>1250</v>
      </c>
      <c r="D29" s="2">
        <f t="shared" si="0"/>
        <v>3375000</v>
      </c>
      <c r="E29" s="2">
        <f t="shared" si="2"/>
        <v>610000</v>
      </c>
      <c r="F29" s="2">
        <f t="shared" si="1"/>
        <v>1930000</v>
      </c>
    </row>
    <row r="30" spans="1:6" x14ac:dyDescent="0.2">
      <c r="A30" s="1">
        <v>29</v>
      </c>
      <c r="B30" s="1">
        <v>1445000</v>
      </c>
      <c r="C30" s="2">
        <v>1300</v>
      </c>
      <c r="D30" s="2">
        <f t="shared" si="0"/>
        <v>3510000</v>
      </c>
      <c r="E30" s="2">
        <f t="shared" si="2"/>
        <v>2675000</v>
      </c>
      <c r="F30" s="2">
        <f t="shared" si="1"/>
        <v>2065000</v>
      </c>
    </row>
    <row r="31" spans="1:6" x14ac:dyDescent="0.2">
      <c r="A31" s="1">
        <v>30</v>
      </c>
      <c r="B31" s="1">
        <v>1445000</v>
      </c>
      <c r="C31" s="2">
        <v>1350</v>
      </c>
      <c r="D31" s="2">
        <f t="shared" si="0"/>
        <v>3645000</v>
      </c>
      <c r="E31" s="2">
        <f t="shared" si="2"/>
        <v>4875000</v>
      </c>
      <c r="F31" s="2">
        <f t="shared" si="1"/>
        <v>2200000</v>
      </c>
    </row>
    <row r="32" spans="1:6" x14ac:dyDescent="0.2">
      <c r="A32" s="1">
        <v>31</v>
      </c>
      <c r="B32" s="1">
        <v>1445000</v>
      </c>
      <c r="C32" s="2">
        <v>1400</v>
      </c>
      <c r="D32" s="2">
        <f t="shared" si="0"/>
        <v>3780000</v>
      </c>
      <c r="E32" s="2">
        <f t="shared" si="2"/>
        <v>7210000</v>
      </c>
      <c r="F32" s="2">
        <f t="shared" si="1"/>
        <v>2335000</v>
      </c>
    </row>
    <row r="33" spans="1:6" x14ac:dyDescent="0.2">
      <c r="A33" s="1">
        <v>32</v>
      </c>
      <c r="B33" s="1">
        <v>1445000</v>
      </c>
      <c r="C33" s="2">
        <v>1450</v>
      </c>
      <c r="D33" s="2">
        <f t="shared" si="0"/>
        <v>3915000</v>
      </c>
      <c r="E33" s="2">
        <f t="shared" si="2"/>
        <v>9680000</v>
      </c>
      <c r="F33" s="2">
        <f t="shared" si="1"/>
        <v>2470000</v>
      </c>
    </row>
    <row r="34" spans="1:6" x14ac:dyDescent="0.2">
      <c r="A34" s="1">
        <v>33</v>
      </c>
      <c r="B34" s="1">
        <v>1445000</v>
      </c>
      <c r="C34" s="2">
        <v>1500</v>
      </c>
      <c r="D34" s="2">
        <f t="shared" si="0"/>
        <v>4050000</v>
      </c>
      <c r="E34" s="2">
        <f t="shared" si="2"/>
        <v>12285000</v>
      </c>
      <c r="F34" s="2">
        <f t="shared" si="1"/>
        <v>2605000</v>
      </c>
    </row>
    <row r="35" spans="1:6" x14ac:dyDescent="0.2">
      <c r="A35" s="1">
        <v>34</v>
      </c>
      <c r="B35" s="1">
        <v>1445000</v>
      </c>
      <c r="C35" s="2">
        <v>1550</v>
      </c>
      <c r="D35" s="2">
        <f t="shared" si="0"/>
        <v>4185000</v>
      </c>
      <c r="E35" s="2">
        <f t="shared" si="2"/>
        <v>15025000</v>
      </c>
      <c r="F35" s="2">
        <f t="shared" si="1"/>
        <v>2740000</v>
      </c>
    </row>
    <row r="36" spans="1:6" x14ac:dyDescent="0.2">
      <c r="A36" s="1">
        <v>35</v>
      </c>
      <c r="B36" s="1">
        <v>1445000</v>
      </c>
      <c r="C36" s="2">
        <v>1600</v>
      </c>
      <c r="D36" s="2">
        <f t="shared" si="0"/>
        <v>4320000</v>
      </c>
      <c r="E36" s="2">
        <f t="shared" si="2"/>
        <v>17900000</v>
      </c>
      <c r="F36" s="2">
        <f t="shared" si="1"/>
        <v>2875000</v>
      </c>
    </row>
    <row r="37" spans="1:6" x14ac:dyDescent="0.2">
      <c r="A37" s="1">
        <v>36</v>
      </c>
      <c r="B37" s="1">
        <v>1445000</v>
      </c>
      <c r="C37" s="2">
        <v>1650</v>
      </c>
      <c r="D37" s="2">
        <f t="shared" si="0"/>
        <v>4455000</v>
      </c>
      <c r="E37" s="2">
        <f t="shared" si="2"/>
        <v>20910000</v>
      </c>
      <c r="F37" s="2">
        <f t="shared" si="1"/>
        <v>3010000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Бизнес-Планирование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Рафаэль Баймухамедов</cp:lastModifiedBy>
  <dcterms:modified xsi:type="dcterms:W3CDTF">2025-11-10T19:20:02Z</dcterms:modified>
</cp:coreProperties>
</file>